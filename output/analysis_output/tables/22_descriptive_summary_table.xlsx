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ine Ablage\01 DE\5. postdoc\SocEnRep Project\WP1 &amp; 2\litsearch\output\analysis_output\tables\"/>
    </mc:Choice>
  </mc:AlternateContent>
  <xr:revisionPtr revIDLastSave="0" documentId="13_ncr:1_{8315985F-9C05-4DBA-A7F5-2FB8C6922B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zekx8lYR/9RXh5cSrWpvK5eMUS1GkePTWHvfo+2TqA="/>
    </ext>
  </extLst>
</workbook>
</file>

<file path=xl/calcChain.xml><?xml version="1.0" encoding="utf-8"?>
<calcChain xmlns="http://schemas.openxmlformats.org/spreadsheetml/2006/main">
  <c r="I67" i="1" l="1"/>
  <c r="I103" i="1"/>
  <c r="I102" i="1"/>
  <c r="I101" i="1"/>
  <c r="I100" i="1"/>
  <c r="I99" i="1"/>
  <c r="I98" i="1"/>
  <c r="F98" i="1"/>
  <c r="I97" i="1"/>
  <c r="I96" i="1"/>
  <c r="I95" i="1"/>
  <c r="I94" i="1"/>
  <c r="I93" i="1"/>
  <c r="I92" i="1"/>
  <c r="I91" i="1"/>
  <c r="F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F74" i="1"/>
  <c r="I73" i="1"/>
  <c r="I72" i="1"/>
  <c r="I71" i="1"/>
  <c r="I70" i="1"/>
  <c r="I69" i="1"/>
  <c r="I68" i="1"/>
  <c r="I66" i="1"/>
  <c r="I65" i="1"/>
  <c r="I64" i="1"/>
  <c r="I63" i="1"/>
  <c r="I62" i="1"/>
  <c r="I61" i="1"/>
  <c r="I60" i="1"/>
  <c r="I59" i="1"/>
  <c r="F59" i="1"/>
  <c r="I58" i="1"/>
  <c r="I57" i="1"/>
  <c r="I56" i="1"/>
  <c r="I55" i="1"/>
  <c r="I54" i="1"/>
  <c r="F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F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F8" i="1"/>
  <c r="I7" i="1"/>
  <c r="I6" i="1"/>
</calcChain>
</file>

<file path=xl/sharedStrings.xml><?xml version="1.0" encoding="utf-8"?>
<sst xmlns="http://schemas.openxmlformats.org/spreadsheetml/2006/main" count="178" uniqueCount="142">
  <si>
    <t>Descriptive Coding (Part A) – Summary of Single- and Multi-Select Items, in Codebook Order</t>
  </si>
  <si>
    <r>
      <rPr>
        <b/>
        <i/>
        <sz val="10"/>
        <color theme="1"/>
        <rFont val="Arial"/>
      </rPr>
      <t>Basis N</t>
    </r>
    <r>
      <rPr>
        <b/>
        <sz val="10"/>
        <color theme="1"/>
        <rFont val="Arial"/>
      </rPr>
      <t xml:space="preserve"> = 145</t>
    </r>
    <r>
      <rPr>
        <sz val="10"/>
        <color theme="1"/>
        <rFont val="Arial"/>
      </rPr>
      <t xml:space="preserve"> (full coded corpus) for every item </t>
    </r>
    <r>
      <rPr>
        <b/>
        <i/>
        <sz val="10"/>
        <color theme="1"/>
        <rFont val="Arial"/>
      </rPr>
      <t xml:space="preserve">except for </t>
    </r>
    <r>
      <rPr>
        <b/>
        <sz val="10"/>
        <color theme="1"/>
        <rFont val="Arial"/>
      </rPr>
      <t>B1a</t>
    </r>
    <r>
      <rPr>
        <sz val="10"/>
        <color theme="1"/>
        <rFont val="Arial"/>
      </rPr>
      <t xml:space="preserve"> (only appear when B1 = 'yes'),</t>
    </r>
    <r>
      <rPr>
        <b/>
        <i/>
        <sz val="10"/>
        <color theme="1"/>
        <rFont val="Arial"/>
      </rPr>
      <t xml:space="preserve"> </t>
    </r>
    <r>
      <rPr>
        <b/>
        <sz val="10"/>
        <color theme="1"/>
        <rFont val="Arial"/>
      </rPr>
      <t>D2a</t>
    </r>
    <r>
      <rPr>
        <sz val="10"/>
        <color theme="1"/>
        <rFont val="Arial"/>
      </rPr>
      <t xml:space="preserve"> (only appear when D2 = 'yes'), and</t>
    </r>
    <r>
      <rPr>
        <b/>
        <sz val="10"/>
        <color theme="1"/>
        <rFont val="Arial"/>
      </rPr>
      <t xml:space="preserve"> E1a–f </t>
    </r>
    <r>
      <rPr>
        <sz val="10"/>
        <color theme="1"/>
        <rFont val="Arial"/>
      </rPr>
      <t xml:space="preserve">(only appear when E1 = 'yes'). </t>
    </r>
    <r>
      <rPr>
        <b/>
        <sz val="10"/>
        <color rgb="FFFF0000"/>
        <rFont val="Arial"/>
      </rPr>
      <t>na</t>
    </r>
    <r>
      <rPr>
        <sz val="10"/>
        <color theme="1"/>
        <rFont val="Arial"/>
      </rPr>
      <t xml:space="preserve"> rows reflect empty rows within that basis. </t>
    </r>
    <r>
      <rPr>
        <b/>
        <i/>
        <sz val="10"/>
        <color theme="1"/>
        <rFont val="Arial"/>
      </rPr>
      <t>Multi-select</t>
    </r>
    <r>
      <rPr>
        <sz val="10"/>
        <color theme="1"/>
        <rFont val="Arial"/>
      </rPr>
      <t xml:space="preserve"> </t>
    </r>
    <r>
      <rPr>
        <b/>
        <i/>
        <sz val="10"/>
        <color theme="1"/>
        <rFont val="Arial"/>
      </rPr>
      <t>N entries</t>
    </r>
    <r>
      <rPr>
        <sz val="10"/>
        <color theme="1"/>
        <rFont val="Arial"/>
      </rPr>
      <t xml:space="preserve"> within an item </t>
    </r>
    <r>
      <rPr>
        <b/>
        <i/>
        <sz val="10"/>
        <color theme="1"/>
        <rFont val="Arial"/>
      </rPr>
      <t>can still sum to more than N corpus</t>
    </r>
    <r>
      <rPr>
        <sz val="10"/>
        <color theme="1"/>
        <rFont val="Arial"/>
      </rPr>
      <t xml:space="preserve">, since the coder could pick several options. Percentage of each response (Column I) </t>
    </r>
    <r>
      <rPr>
        <b/>
        <i/>
        <sz val="10"/>
        <color theme="1"/>
        <rFont val="Arial"/>
      </rPr>
      <t>always use N corpus as a denominator</t>
    </r>
    <r>
      <rPr>
        <sz val="10"/>
        <color theme="1"/>
        <rFont val="Arial"/>
      </rPr>
      <t xml:space="preserve">, so percentage can exceed 100% for a multi-select item since the coder can select multiple responses for a paper. </t>
    </r>
    <r>
      <rPr>
        <b/>
        <sz val="10"/>
        <color theme="1"/>
        <rFont val="Arial"/>
      </rPr>
      <t>Krippendorf's α</t>
    </r>
    <r>
      <rPr>
        <sz val="10"/>
        <color theme="1"/>
        <rFont val="Arial"/>
      </rPr>
      <t>, which indicates interrater reliability from 4 coders (Amelia, Mehtab, Ineke, and Elisabetta) is calculated only for single-select item.</t>
    </r>
  </si>
  <si>
    <t>Order</t>
  </si>
  <si>
    <t>Item Code</t>
  </si>
  <si>
    <t>Question</t>
  </si>
  <si>
    <t>Type</t>
  </si>
  <si>
    <t>N corpus</t>
  </si>
  <si>
    <t>N entries</t>
  </si>
  <si>
    <t>Responses</t>
  </si>
  <si>
    <t>Count</t>
  </si>
  <si>
    <t>% of N corpus</t>
  </si>
  <si>
    <t xml:space="preserve">Krippendorf's α </t>
  </si>
  <si>
    <t>B1</t>
  </si>
  <si>
    <t>Is the paper focused on a specific scientific discipline?</t>
  </si>
  <si>
    <t>Single-select</t>
  </si>
  <si>
    <t>No. Paper is general with no named target discipline.</t>
  </si>
  <si>
    <t>0.601</t>
  </si>
  <si>
    <t>Yes. Paper explicitly targets one or more named disciplines</t>
  </si>
  <si>
    <t>B1a</t>
  </si>
  <si>
    <r>
      <rPr>
        <b/>
        <sz val="10"/>
        <color theme="1"/>
        <rFont val="Aptos"/>
      </rPr>
      <t xml:space="preserve">Which discipline(s) does the paper focus on? </t>
    </r>
    <r>
      <rPr>
        <b/>
        <sz val="10"/>
        <color rgb="FFFF0000"/>
        <rFont val="Aptos"/>
      </rPr>
      <t>(only applies when B1 = `yes`)</t>
    </r>
  </si>
  <si>
    <t>Multi-select</t>
  </si>
  <si>
    <t>Economics</t>
  </si>
  <si>
    <t>na</t>
  </si>
  <si>
    <t>General social science</t>
  </si>
  <si>
    <t>Political Science</t>
  </si>
  <si>
    <t>Communication science</t>
  </si>
  <si>
    <t>Sociology</t>
  </si>
  <si>
    <t>Finance</t>
  </si>
  <si>
    <t>Management/Business</t>
  </si>
  <si>
    <t>Accounting</t>
  </si>
  <si>
    <t>Computational Humanities</t>
  </si>
  <si>
    <t>International relation</t>
  </si>
  <si>
    <t>C1</t>
  </si>
  <si>
    <t>What is the primary type of contribution this paper makes?</t>
  </si>
  <si>
    <t>Technical tool/workflow paper</t>
  </si>
  <si>
    <t>0.583</t>
  </si>
  <si>
    <t>Guidelines/policy paper</t>
  </si>
  <si>
    <t>Empirical audit/assessment</t>
  </si>
  <si>
    <t>Narrative review or commentary</t>
  </si>
  <si>
    <t>Replication/reproduction attempt</t>
  </si>
  <si>
    <t>User study (e.g., survey, interview, focus group discussion -- with computational reproducibility as the main topic)</t>
  </si>
  <si>
    <t>Educational/training resource</t>
  </si>
  <si>
    <t>Meta-studies (e.g., scoping review, systematic review, meta-analysis)</t>
  </si>
  <si>
    <t>C2</t>
  </si>
  <si>
    <t>Is there a clearly applicable secondary type of contribution?</t>
  </si>
  <si>
    <t>0.399</t>
  </si>
  <si>
    <t>D1</t>
  </si>
  <si>
    <t>Does the paper provide a definition of reproducibility?</t>
  </si>
  <si>
    <t>Yes</t>
  </si>
  <si>
    <t>0.591</t>
  </si>
  <si>
    <t>No</t>
  </si>
  <si>
    <t>D2</t>
  </si>
  <si>
    <t>Does the paper discuss how the meaning or practice of reproducibility varies across different contexts?</t>
  </si>
  <si>
    <t>No. The paper treats reproducibility as context-independent or does not address variation.</t>
  </si>
  <si>
    <t>0.371</t>
  </si>
  <si>
    <t>Yes. The paper explicitly notes that reproducibility looks different and is practiced differently depending on context.</t>
  </si>
  <si>
    <t>D2a</t>
  </si>
  <si>
    <r>
      <rPr>
        <b/>
        <sz val="10"/>
        <color theme="1"/>
        <rFont val="Aptos"/>
      </rPr>
      <t xml:space="preserve">Which types of contextual variation does the paper discuss? </t>
    </r>
    <r>
      <rPr>
        <b/>
        <sz val="10"/>
        <color rgb="FFFF0000"/>
        <rFont val="Aptos"/>
      </rPr>
      <t>(only applies when D2 = `yes`)</t>
    </r>
  </si>
  <si>
    <t>Scientific discipline</t>
  </si>
  <si>
    <t>Data or material license</t>
  </si>
  <si>
    <t>Data type</t>
  </si>
  <si>
    <t>Programming language or software</t>
  </si>
  <si>
    <t>Study design</t>
  </si>
  <si>
    <t>Computational environment</t>
  </si>
  <si>
    <t>Journals' policies</t>
  </si>
  <si>
    <t>Software longevity/time</t>
  </si>
  <si>
    <t>Computational and infrastructure complexity</t>
  </si>
  <si>
    <t>Computational vs. non-computational steps in a study</t>
  </si>
  <si>
    <t>Data quality</t>
  </si>
  <si>
    <t>Scientific claims</t>
  </si>
  <si>
    <t>E1</t>
  </si>
  <si>
    <t>Does the paper describe or recommend a specific workflow, guideline, or tool for checking reproducibility?</t>
  </si>
  <si>
    <t>Yes. The paper actively describes, introduces, or recommends at least one concrete workflow, checklist, or tool.</t>
  </si>
  <si>
    <t>0.464</t>
  </si>
  <si>
    <t>No. The paper discusses reproducibility in general but does NOT describe a specific workflow or tool.</t>
  </si>
  <si>
    <t>E1a</t>
  </si>
  <si>
    <r>
      <rPr>
        <b/>
        <sz val="10"/>
        <color theme="1"/>
        <rFont val="Aptos"/>
      </rPr>
      <t xml:space="preserve">How explicitly is the workflow or guideline described? </t>
    </r>
    <r>
      <rPr>
        <b/>
        <sz val="10"/>
        <color rgb="FFFF0000"/>
        <rFont val="Aptos"/>
      </rPr>
      <t>(only applies when E1 = `yes`)</t>
    </r>
  </si>
  <si>
    <t>Step-by-step (explicit)</t>
  </si>
  <si>
    <t>0.602</t>
  </si>
  <si>
    <t>Narrative (implicit)</t>
  </si>
  <si>
    <t>E1b</t>
  </si>
  <si>
    <r>
      <rPr>
        <b/>
        <sz val="10"/>
        <color theme="1"/>
        <rFont val="Aptos"/>
      </rPr>
      <t xml:space="preserve">What computational environment does the paper focus on? </t>
    </r>
    <r>
      <rPr>
        <b/>
        <sz val="10"/>
        <color rgb="FFFF0000"/>
        <rFont val="Aptos"/>
      </rPr>
      <t>(only applies when E1 = `yes`)</t>
    </r>
  </si>
  <si>
    <t>Containerization (e.g., Docker, Singularity, CodeOcean, Binder, WholeTale, etc.)</t>
  </si>
  <si>
    <t>Package/dependency management</t>
  </si>
  <si>
    <t>Literate programming/dynamic documents</t>
  </si>
  <si>
    <t>Version control</t>
  </si>
  <si>
    <t>Not described</t>
  </si>
  <si>
    <t>E1c</t>
  </si>
  <si>
    <r>
      <rPr>
        <b/>
        <sz val="10"/>
        <color theme="1"/>
        <rFont val="Aptos"/>
      </rPr>
      <t xml:space="preserve">What programming language(s) does the paper focus on? </t>
    </r>
    <r>
      <rPr>
        <b/>
        <sz val="10"/>
        <color rgb="FFFF0000"/>
        <rFont val="Aptos"/>
      </rPr>
      <t>(only applies when E1 = `yes`)</t>
    </r>
  </si>
  <si>
    <t>R</t>
  </si>
  <si>
    <t>Python</t>
  </si>
  <si>
    <t>Stata</t>
  </si>
  <si>
    <t>Matlab</t>
  </si>
  <si>
    <t>Julia</t>
  </si>
  <si>
    <t>SAS</t>
  </si>
  <si>
    <t>Java</t>
  </si>
  <si>
    <t>SPSS</t>
  </si>
  <si>
    <t>C/C++</t>
  </si>
  <si>
    <t>Excel</t>
  </si>
  <si>
    <t>Fortran</t>
  </si>
  <si>
    <t>GAMS</t>
  </si>
  <si>
    <t>Mathematica</t>
  </si>
  <si>
    <t>NetLogo</t>
  </si>
  <si>
    <t>E1d</t>
  </si>
  <si>
    <r>
      <rPr>
        <b/>
        <sz val="10"/>
        <color theme="1"/>
        <rFont val="Aptos"/>
      </rPr>
      <t xml:space="preserve">What data type(s) does the paper focus on? </t>
    </r>
    <r>
      <rPr>
        <b/>
        <sz val="10"/>
        <color rgb="FFFF0000"/>
        <rFont val="Aptos"/>
      </rPr>
      <t>(only applies when E1 = `yes`)</t>
    </r>
  </si>
  <si>
    <t>Proprietary/confidential data</t>
  </si>
  <si>
    <t>Survey/experimental</t>
  </si>
  <si>
    <t>Administrative/register data</t>
  </si>
  <si>
    <t>Digital trace data</t>
  </si>
  <si>
    <t>Text/NLP</t>
  </si>
  <si>
    <t>Audio data</t>
  </si>
  <si>
    <t>Trading data</t>
  </si>
  <si>
    <t>E1e</t>
  </si>
  <si>
    <r>
      <rPr>
        <b/>
        <sz val="10"/>
        <color theme="1"/>
        <rFont val="Aptos"/>
      </rPr>
      <t xml:space="preserve">Does the paper suggest or describe automated checking of reproducibility? </t>
    </r>
    <r>
      <rPr>
        <b/>
        <sz val="10"/>
        <color rgb="FFFF0000"/>
        <rFont val="Aptos"/>
      </rPr>
      <t>(only applies when E1 = `yes`)</t>
    </r>
  </si>
  <si>
    <t>Partial automation. Some steps are automated and some require human judgment.</t>
  </si>
  <si>
    <t>0.230</t>
  </si>
  <si>
    <t>Manual only. The workflow is entirely manual.</t>
  </si>
  <si>
    <t>Full automation. The entire proposed workflow is automated with no required manual steps.</t>
  </si>
  <si>
    <t>E1f</t>
  </si>
  <si>
    <r>
      <rPr>
        <b/>
        <sz val="10"/>
        <color theme="1"/>
        <rFont val="Aptos"/>
      </rPr>
      <t xml:space="preserve">Does the described automation involve large language models (LLMs)? </t>
    </r>
    <r>
      <rPr>
        <b/>
        <sz val="10"/>
        <color rgb="FFFF0000"/>
        <rFont val="Aptos"/>
      </rPr>
      <t>(only applies when E1 = `yes`)</t>
    </r>
  </si>
  <si>
    <t>No. Automation is present but does not involve LLMs.</t>
  </si>
  <si>
    <t>0.484</t>
  </si>
  <si>
    <t>Not applicable. E1e = Manual only or Not described.</t>
  </si>
  <si>
    <t>Yes. The paper explicitly mentions LLMs (e.g., GPT, Claude, Llama) as part of the workflow.</t>
  </si>
  <si>
    <t>F1</t>
  </si>
  <si>
    <t>Does the paper describe or recommend a scoring or badging system for evaluating reproducibility?</t>
  </si>
  <si>
    <t>0.6</t>
  </si>
  <si>
    <t>F2</t>
  </si>
  <si>
    <t>Who does the paper say should perform the reproducibility check?</t>
  </si>
  <si>
    <t>Third-party/independent reproducers/replicators</t>
  </si>
  <si>
    <t>Authors (self-check)</t>
  </si>
  <si>
    <t>Data editors</t>
  </si>
  <si>
    <t>Peer reviewers</t>
  </si>
  <si>
    <t>AI Agents</t>
  </si>
  <si>
    <t>Librarians</t>
  </si>
  <si>
    <t>F3</t>
  </si>
  <si>
    <t>When does the paper suggest reproducibility should be verified?</t>
  </si>
  <si>
    <t>After publication</t>
  </si>
  <si>
    <t>After acceptance, before publication</t>
  </si>
  <si>
    <t>Before submission, proactively</t>
  </si>
  <si>
    <t>Parallel to peer review process</t>
  </si>
  <si>
    <t>All stages of research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</si>
</sst>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scheme val="minor"/>
    </font>
    <font>
      <b/>
      <sz val="13"/>
      <color theme="1"/>
      <name val="Aptos"/>
    </font>
    <font>
      <sz val="11"/>
      <color theme="1"/>
      <name val="Aptos"/>
    </font>
    <font>
      <sz val="10"/>
      <color theme="1"/>
      <name val="Aptos"/>
    </font>
    <font>
      <b/>
      <sz val="10"/>
      <color rgb="FFFFFFFF"/>
      <name val="Aptos"/>
    </font>
    <font>
      <b/>
      <sz val="11"/>
      <color theme="0"/>
      <name val="Aptos"/>
    </font>
    <font>
      <b/>
      <sz val="10"/>
      <color theme="1"/>
      <name val="Aptos"/>
    </font>
    <font>
      <sz val="11"/>
      <name val="Calibri"/>
    </font>
    <font>
      <b/>
      <sz val="10"/>
      <color rgb="FFFF0000"/>
      <name val="Aptos"/>
    </font>
    <font>
      <b/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97B4BF-6A27-423B-A0A7-1F43F264CB3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eb58050-9928-4b91-93f1-842cd985d15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workbookViewId="0">
      <pane ySplit="5" topLeftCell="A94" activePane="bottomLeft" state="frozen"/>
      <selection pane="bottomLeft" activeCell="J106" sqref="J106"/>
    </sheetView>
  </sheetViews>
  <sheetFormatPr baseColWidth="10" defaultColWidth="14.44140625" defaultRowHeight="15" customHeight="1" x14ac:dyDescent="0.3"/>
  <cols>
    <col min="1" max="1" width="8" style="5" customWidth="1"/>
    <col min="2" max="2" width="10" style="5" customWidth="1"/>
    <col min="3" max="3" width="42" style="5" customWidth="1"/>
    <col min="4" max="4" width="13" style="5" customWidth="1"/>
    <col min="5" max="5" width="12.5546875" style="5" customWidth="1"/>
    <col min="6" max="6" width="10" style="5" customWidth="1"/>
    <col min="7" max="7" width="55" style="5" customWidth="1"/>
    <col min="8" max="8" width="9" style="5" customWidth="1"/>
    <col min="9" max="9" width="14.109375" style="5" customWidth="1"/>
    <col min="10" max="10" width="21.6640625" style="5" customWidth="1"/>
    <col min="11" max="26" width="8.88671875" style="5" customWidth="1"/>
    <col min="27" max="16384" width="14.44140625" style="5"/>
  </cols>
  <sheetData>
    <row r="1" spans="1:26" ht="14.25" customHeight="1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6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9.25" customHeight="1" x14ac:dyDescent="0.3">
      <c r="A3" s="7" t="s">
        <v>1</v>
      </c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1" t="s">
        <v>11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">
      <c r="A6" s="9">
        <v>1</v>
      </c>
      <c r="B6" s="9" t="s">
        <v>12</v>
      </c>
      <c r="C6" s="10" t="s">
        <v>13</v>
      </c>
      <c r="D6" s="9" t="s">
        <v>14</v>
      </c>
      <c r="E6" s="9">
        <v>145</v>
      </c>
      <c r="F6" s="9">
        <v>145</v>
      </c>
      <c r="G6" s="11" t="s">
        <v>15</v>
      </c>
      <c r="H6" s="12">
        <v>79</v>
      </c>
      <c r="I6" s="13">
        <f t="shared" ref="I6:I7" si="0">H6/145*100%</f>
        <v>0.54482758620689653</v>
      </c>
      <c r="J6" s="14" t="s">
        <v>16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">
      <c r="A7" s="15"/>
      <c r="B7" s="15"/>
      <c r="C7" s="15"/>
      <c r="D7" s="15"/>
      <c r="E7" s="15"/>
      <c r="F7" s="15"/>
      <c r="G7" s="11" t="s">
        <v>17</v>
      </c>
      <c r="H7" s="12">
        <v>66</v>
      </c>
      <c r="I7" s="13">
        <f t="shared" si="0"/>
        <v>0.45517241379310347</v>
      </c>
      <c r="J7" s="1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">
      <c r="A8" s="16">
        <v>2</v>
      </c>
      <c r="B8" s="16" t="s">
        <v>18</v>
      </c>
      <c r="C8" s="17" t="s">
        <v>19</v>
      </c>
      <c r="D8" s="18" t="s">
        <v>20</v>
      </c>
      <c r="E8" s="16">
        <v>66</v>
      </c>
      <c r="F8" s="16">
        <f>SUM(H8:H17)</f>
        <v>86</v>
      </c>
      <c r="G8" s="19" t="s">
        <v>21</v>
      </c>
      <c r="H8" s="20">
        <v>29</v>
      </c>
      <c r="I8" s="21">
        <f t="shared" ref="I8:I17" si="1">H8/66*100%</f>
        <v>0.43939393939393939</v>
      </c>
      <c r="J8" s="22" t="s">
        <v>22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">
      <c r="A9" s="15"/>
      <c r="B9" s="15"/>
      <c r="C9" s="15"/>
      <c r="D9" s="15"/>
      <c r="E9" s="15"/>
      <c r="F9" s="15"/>
      <c r="G9" s="19" t="s">
        <v>23</v>
      </c>
      <c r="H9" s="20">
        <v>20</v>
      </c>
      <c r="I9" s="21">
        <f t="shared" si="1"/>
        <v>0.30303030303030304</v>
      </c>
      <c r="J9" s="1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">
      <c r="A10" s="15"/>
      <c r="B10" s="15"/>
      <c r="C10" s="15"/>
      <c r="D10" s="15"/>
      <c r="E10" s="15"/>
      <c r="F10" s="15"/>
      <c r="G10" s="19" t="s">
        <v>24</v>
      </c>
      <c r="H10" s="20">
        <v>16</v>
      </c>
      <c r="I10" s="21">
        <f t="shared" si="1"/>
        <v>0.24242424242424243</v>
      </c>
      <c r="J10" s="1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">
      <c r="A11" s="15"/>
      <c r="B11" s="15"/>
      <c r="C11" s="15"/>
      <c r="D11" s="15"/>
      <c r="E11" s="15"/>
      <c r="F11" s="15"/>
      <c r="G11" s="19" t="s">
        <v>25</v>
      </c>
      <c r="H11" s="20">
        <v>7</v>
      </c>
      <c r="I11" s="21">
        <f t="shared" si="1"/>
        <v>0.10606060606060606</v>
      </c>
      <c r="J11" s="15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">
      <c r="A12" s="15"/>
      <c r="B12" s="15"/>
      <c r="C12" s="15"/>
      <c r="D12" s="15"/>
      <c r="E12" s="15"/>
      <c r="F12" s="15"/>
      <c r="G12" s="19" t="s">
        <v>26</v>
      </c>
      <c r="H12" s="20">
        <v>5</v>
      </c>
      <c r="I12" s="21">
        <f t="shared" si="1"/>
        <v>7.575757575757576E-2</v>
      </c>
      <c r="J12" s="15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">
      <c r="A13" s="15"/>
      <c r="B13" s="15"/>
      <c r="C13" s="15"/>
      <c r="D13" s="15"/>
      <c r="E13" s="15"/>
      <c r="F13" s="15"/>
      <c r="G13" s="19" t="s">
        <v>27</v>
      </c>
      <c r="H13" s="20">
        <v>3</v>
      </c>
      <c r="I13" s="21">
        <f t="shared" si="1"/>
        <v>4.5454545454545456E-2</v>
      </c>
      <c r="J13" s="1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">
      <c r="A14" s="15"/>
      <c r="B14" s="15"/>
      <c r="C14" s="15"/>
      <c r="D14" s="15"/>
      <c r="E14" s="15"/>
      <c r="F14" s="15"/>
      <c r="G14" s="19" t="s">
        <v>28</v>
      </c>
      <c r="H14" s="20">
        <v>3</v>
      </c>
      <c r="I14" s="21">
        <f t="shared" si="1"/>
        <v>4.5454545454545456E-2</v>
      </c>
      <c r="J14" s="1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">
      <c r="A15" s="15"/>
      <c r="B15" s="15"/>
      <c r="C15" s="15"/>
      <c r="D15" s="15"/>
      <c r="E15" s="15"/>
      <c r="F15" s="15"/>
      <c r="G15" s="19" t="s">
        <v>29</v>
      </c>
      <c r="H15" s="20">
        <v>1</v>
      </c>
      <c r="I15" s="21">
        <f t="shared" si="1"/>
        <v>1.5151515151515152E-2</v>
      </c>
      <c r="J15" s="1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">
      <c r="A16" s="15"/>
      <c r="B16" s="15"/>
      <c r="C16" s="15"/>
      <c r="D16" s="15"/>
      <c r="E16" s="15"/>
      <c r="F16" s="15"/>
      <c r="G16" s="19" t="s">
        <v>30</v>
      </c>
      <c r="H16" s="20">
        <v>1</v>
      </c>
      <c r="I16" s="21">
        <f t="shared" si="1"/>
        <v>1.5151515151515152E-2</v>
      </c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">
      <c r="A17" s="15"/>
      <c r="B17" s="15"/>
      <c r="C17" s="15"/>
      <c r="D17" s="15"/>
      <c r="E17" s="15"/>
      <c r="F17" s="15"/>
      <c r="G17" s="19" t="s">
        <v>31</v>
      </c>
      <c r="H17" s="20">
        <v>1</v>
      </c>
      <c r="I17" s="21">
        <f t="shared" si="1"/>
        <v>1.5151515151515152E-2</v>
      </c>
      <c r="J17" s="1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">
      <c r="A18" s="9">
        <v>3</v>
      </c>
      <c r="B18" s="9" t="s">
        <v>32</v>
      </c>
      <c r="C18" s="10" t="s">
        <v>33</v>
      </c>
      <c r="D18" s="9" t="s">
        <v>14</v>
      </c>
      <c r="E18" s="9">
        <v>145</v>
      </c>
      <c r="F18" s="9">
        <v>145</v>
      </c>
      <c r="G18" s="11" t="s">
        <v>34</v>
      </c>
      <c r="H18" s="12">
        <v>52</v>
      </c>
      <c r="I18" s="13">
        <f t="shared" ref="I18:I37" si="2">H18/145*100%</f>
        <v>0.35862068965517241</v>
      </c>
      <c r="J18" s="14" t="s">
        <v>35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">
      <c r="A19" s="15"/>
      <c r="B19" s="15"/>
      <c r="C19" s="15"/>
      <c r="D19" s="15"/>
      <c r="E19" s="15"/>
      <c r="F19" s="15"/>
      <c r="G19" s="11" t="s">
        <v>36</v>
      </c>
      <c r="H19" s="12">
        <v>27</v>
      </c>
      <c r="I19" s="13">
        <f t="shared" si="2"/>
        <v>0.18620689655172415</v>
      </c>
      <c r="J19" s="1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">
      <c r="A20" s="15"/>
      <c r="B20" s="15"/>
      <c r="C20" s="15"/>
      <c r="D20" s="15"/>
      <c r="E20" s="15"/>
      <c r="F20" s="15"/>
      <c r="G20" s="11" t="s">
        <v>37</v>
      </c>
      <c r="H20" s="12">
        <v>25</v>
      </c>
      <c r="I20" s="13">
        <f t="shared" si="2"/>
        <v>0.17241379310344829</v>
      </c>
      <c r="J20" s="1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">
      <c r="A21" s="15"/>
      <c r="B21" s="15"/>
      <c r="C21" s="15"/>
      <c r="D21" s="15"/>
      <c r="E21" s="15"/>
      <c r="F21" s="15"/>
      <c r="G21" s="11" t="s">
        <v>38</v>
      </c>
      <c r="H21" s="12">
        <v>11</v>
      </c>
      <c r="I21" s="13">
        <f t="shared" si="2"/>
        <v>7.586206896551724E-2</v>
      </c>
      <c r="J21" s="1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">
      <c r="A22" s="15"/>
      <c r="B22" s="15"/>
      <c r="C22" s="15"/>
      <c r="D22" s="15"/>
      <c r="E22" s="15"/>
      <c r="F22" s="15"/>
      <c r="G22" s="11" t="s">
        <v>39</v>
      </c>
      <c r="H22" s="12">
        <v>10</v>
      </c>
      <c r="I22" s="13">
        <f t="shared" si="2"/>
        <v>6.8965517241379309E-2</v>
      </c>
      <c r="J22" s="1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">
      <c r="A23" s="15"/>
      <c r="B23" s="15"/>
      <c r="C23" s="15"/>
      <c r="D23" s="15"/>
      <c r="E23" s="15"/>
      <c r="F23" s="15"/>
      <c r="G23" s="11" t="s">
        <v>40</v>
      </c>
      <c r="H23" s="12">
        <v>9</v>
      </c>
      <c r="I23" s="13">
        <f t="shared" si="2"/>
        <v>6.2068965517241378E-2</v>
      </c>
      <c r="J23" s="1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15"/>
      <c r="B24" s="15"/>
      <c r="C24" s="15"/>
      <c r="D24" s="15"/>
      <c r="E24" s="15"/>
      <c r="F24" s="15"/>
      <c r="G24" s="11" t="s">
        <v>41</v>
      </c>
      <c r="H24" s="12">
        <v>7</v>
      </c>
      <c r="I24" s="13">
        <f t="shared" si="2"/>
        <v>4.8275862068965517E-2</v>
      </c>
      <c r="J24" s="1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">
      <c r="A25" s="15"/>
      <c r="B25" s="15"/>
      <c r="C25" s="15"/>
      <c r="D25" s="15"/>
      <c r="E25" s="15"/>
      <c r="F25" s="15"/>
      <c r="G25" s="11" t="s">
        <v>42</v>
      </c>
      <c r="H25" s="12">
        <v>4</v>
      </c>
      <c r="I25" s="13">
        <f t="shared" si="2"/>
        <v>2.7586206896551724E-2</v>
      </c>
      <c r="J25" s="1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">
      <c r="A26" s="16">
        <v>4</v>
      </c>
      <c r="B26" s="16" t="s">
        <v>43</v>
      </c>
      <c r="C26" s="17" t="s">
        <v>44</v>
      </c>
      <c r="D26" s="16" t="s">
        <v>14</v>
      </c>
      <c r="E26" s="16">
        <v>145</v>
      </c>
      <c r="F26" s="16">
        <v>145</v>
      </c>
      <c r="G26" s="23" t="s">
        <v>22</v>
      </c>
      <c r="H26" s="20">
        <v>93</v>
      </c>
      <c r="I26" s="21">
        <f t="shared" si="2"/>
        <v>0.64137931034482754</v>
      </c>
      <c r="J26" s="22" t="s">
        <v>45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">
      <c r="A27" s="15"/>
      <c r="B27" s="15"/>
      <c r="C27" s="15"/>
      <c r="D27" s="15"/>
      <c r="E27" s="15"/>
      <c r="F27" s="15"/>
      <c r="G27" s="19" t="s">
        <v>36</v>
      </c>
      <c r="H27" s="20">
        <v>13</v>
      </c>
      <c r="I27" s="21">
        <f t="shared" si="2"/>
        <v>8.9655172413793102E-2</v>
      </c>
      <c r="J27" s="1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">
      <c r="A28" s="15"/>
      <c r="B28" s="15"/>
      <c r="C28" s="15"/>
      <c r="D28" s="15"/>
      <c r="E28" s="15"/>
      <c r="F28" s="15"/>
      <c r="G28" s="19" t="s">
        <v>41</v>
      </c>
      <c r="H28" s="20">
        <v>11</v>
      </c>
      <c r="I28" s="21">
        <f t="shared" si="2"/>
        <v>7.586206896551724E-2</v>
      </c>
      <c r="J28" s="1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">
      <c r="A29" s="15"/>
      <c r="B29" s="15"/>
      <c r="C29" s="15"/>
      <c r="D29" s="15"/>
      <c r="E29" s="15"/>
      <c r="F29" s="15"/>
      <c r="G29" s="19" t="s">
        <v>34</v>
      </c>
      <c r="H29" s="20">
        <v>9</v>
      </c>
      <c r="I29" s="21">
        <f t="shared" si="2"/>
        <v>6.2068965517241378E-2</v>
      </c>
      <c r="J29" s="1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">
      <c r="A30" s="15"/>
      <c r="B30" s="15"/>
      <c r="C30" s="15"/>
      <c r="D30" s="15"/>
      <c r="E30" s="15"/>
      <c r="F30" s="15"/>
      <c r="G30" s="19" t="s">
        <v>37</v>
      </c>
      <c r="H30" s="20">
        <v>8</v>
      </c>
      <c r="I30" s="21">
        <f t="shared" si="2"/>
        <v>5.5172413793103448E-2</v>
      </c>
      <c r="J30" s="1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">
      <c r="A31" s="15"/>
      <c r="B31" s="15"/>
      <c r="C31" s="15"/>
      <c r="D31" s="15"/>
      <c r="E31" s="15"/>
      <c r="F31" s="15"/>
      <c r="G31" s="19" t="s">
        <v>40</v>
      </c>
      <c r="H31" s="20">
        <v>6</v>
      </c>
      <c r="I31" s="21">
        <f t="shared" si="2"/>
        <v>4.1379310344827586E-2</v>
      </c>
      <c r="J31" s="1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">
      <c r="A32" s="15"/>
      <c r="B32" s="15"/>
      <c r="C32" s="15"/>
      <c r="D32" s="15"/>
      <c r="E32" s="15"/>
      <c r="F32" s="15"/>
      <c r="G32" s="19" t="s">
        <v>39</v>
      </c>
      <c r="H32" s="20">
        <v>3</v>
      </c>
      <c r="I32" s="21">
        <f t="shared" si="2"/>
        <v>2.0689655172413793E-2</v>
      </c>
      <c r="J32" s="1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5"/>
      <c r="C33" s="15"/>
      <c r="D33" s="15"/>
      <c r="E33" s="15"/>
      <c r="F33" s="15"/>
      <c r="G33" s="19" t="s">
        <v>38</v>
      </c>
      <c r="H33" s="20">
        <v>2</v>
      </c>
      <c r="I33" s="21">
        <f t="shared" si="2"/>
        <v>1.3793103448275862E-2</v>
      </c>
      <c r="J33" s="1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9">
        <v>5</v>
      </c>
      <c r="B34" s="9" t="s">
        <v>46</v>
      </c>
      <c r="C34" s="10" t="s">
        <v>47</v>
      </c>
      <c r="D34" s="9" t="s">
        <v>14</v>
      </c>
      <c r="E34" s="9">
        <v>145</v>
      </c>
      <c r="F34" s="9">
        <v>145</v>
      </c>
      <c r="G34" s="11" t="s">
        <v>48</v>
      </c>
      <c r="H34" s="12">
        <v>91</v>
      </c>
      <c r="I34" s="13">
        <f t="shared" si="2"/>
        <v>0.62758620689655176</v>
      </c>
      <c r="J34" s="14" t="s">
        <v>49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5"/>
      <c r="C35" s="15"/>
      <c r="D35" s="15"/>
      <c r="E35" s="15"/>
      <c r="F35" s="15"/>
      <c r="G35" s="11" t="s">
        <v>50</v>
      </c>
      <c r="H35" s="12">
        <v>54</v>
      </c>
      <c r="I35" s="13">
        <f t="shared" si="2"/>
        <v>0.3724137931034483</v>
      </c>
      <c r="J35" s="1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6">
        <v>6</v>
      </c>
      <c r="B36" s="16" t="s">
        <v>51</v>
      </c>
      <c r="C36" s="17" t="s">
        <v>52</v>
      </c>
      <c r="D36" s="16" t="s">
        <v>14</v>
      </c>
      <c r="E36" s="16">
        <v>145</v>
      </c>
      <c r="F36" s="16">
        <v>145</v>
      </c>
      <c r="G36" s="19" t="s">
        <v>53</v>
      </c>
      <c r="H36" s="20">
        <v>80</v>
      </c>
      <c r="I36" s="21">
        <f t="shared" si="2"/>
        <v>0.55172413793103448</v>
      </c>
      <c r="J36" s="22" t="s">
        <v>54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">
      <c r="A37" s="15"/>
      <c r="B37" s="15"/>
      <c r="C37" s="15"/>
      <c r="D37" s="15"/>
      <c r="E37" s="15"/>
      <c r="F37" s="15"/>
      <c r="G37" s="19" t="s">
        <v>55</v>
      </c>
      <c r="H37" s="20">
        <v>65</v>
      </c>
      <c r="I37" s="21">
        <f t="shared" si="2"/>
        <v>0.44827586206896552</v>
      </c>
      <c r="J37" s="1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">
      <c r="A38" s="9">
        <v>7</v>
      </c>
      <c r="B38" s="9" t="s">
        <v>56</v>
      </c>
      <c r="C38" s="10" t="s">
        <v>57</v>
      </c>
      <c r="D38" s="24" t="s">
        <v>20</v>
      </c>
      <c r="E38" s="9">
        <v>65</v>
      </c>
      <c r="F38" s="9">
        <f>SUM(H38:H49)</f>
        <v>113</v>
      </c>
      <c r="G38" s="11" t="s">
        <v>58</v>
      </c>
      <c r="H38" s="12">
        <v>29</v>
      </c>
      <c r="I38" s="13">
        <f t="shared" ref="I38:I49" si="3">H38/65*100%</f>
        <v>0.44615384615384618</v>
      </c>
      <c r="J38" s="14" t="s">
        <v>22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">
      <c r="A39" s="15"/>
      <c r="B39" s="15"/>
      <c r="C39" s="15"/>
      <c r="D39" s="15"/>
      <c r="E39" s="15"/>
      <c r="F39" s="15"/>
      <c r="G39" s="11" t="s">
        <v>59</v>
      </c>
      <c r="H39" s="12">
        <v>23</v>
      </c>
      <c r="I39" s="13">
        <f t="shared" si="3"/>
        <v>0.35384615384615387</v>
      </c>
      <c r="J39" s="1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">
      <c r="A40" s="15"/>
      <c r="B40" s="15"/>
      <c r="C40" s="15"/>
      <c r="D40" s="15"/>
      <c r="E40" s="15"/>
      <c r="F40" s="15"/>
      <c r="G40" s="11" t="s">
        <v>60</v>
      </c>
      <c r="H40" s="12">
        <v>18</v>
      </c>
      <c r="I40" s="13">
        <f t="shared" si="3"/>
        <v>0.27692307692307694</v>
      </c>
      <c r="J40" s="1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">
      <c r="A41" s="15"/>
      <c r="B41" s="15"/>
      <c r="C41" s="15"/>
      <c r="D41" s="15"/>
      <c r="E41" s="15"/>
      <c r="F41" s="15"/>
      <c r="G41" s="11" t="s">
        <v>61</v>
      </c>
      <c r="H41" s="12">
        <v>18</v>
      </c>
      <c r="I41" s="13">
        <f t="shared" si="3"/>
        <v>0.27692307692307694</v>
      </c>
      <c r="J41" s="15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">
      <c r="A42" s="15"/>
      <c r="B42" s="15"/>
      <c r="C42" s="15"/>
      <c r="D42" s="15"/>
      <c r="E42" s="15"/>
      <c r="F42" s="15"/>
      <c r="G42" s="11" t="s">
        <v>62</v>
      </c>
      <c r="H42" s="12">
        <v>15</v>
      </c>
      <c r="I42" s="13">
        <f t="shared" si="3"/>
        <v>0.23076923076923078</v>
      </c>
      <c r="J42" s="15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">
      <c r="A43" s="15"/>
      <c r="B43" s="15"/>
      <c r="C43" s="15"/>
      <c r="D43" s="15"/>
      <c r="E43" s="15"/>
      <c r="F43" s="15"/>
      <c r="G43" s="11" t="s">
        <v>63</v>
      </c>
      <c r="H43" s="12">
        <v>2</v>
      </c>
      <c r="I43" s="13">
        <f t="shared" si="3"/>
        <v>3.0769230769230771E-2</v>
      </c>
      <c r="J43" s="15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">
      <c r="A44" s="15"/>
      <c r="B44" s="15"/>
      <c r="C44" s="15"/>
      <c r="D44" s="15"/>
      <c r="E44" s="15"/>
      <c r="F44" s="15"/>
      <c r="G44" s="11" t="s">
        <v>64</v>
      </c>
      <c r="H44" s="12">
        <v>2</v>
      </c>
      <c r="I44" s="13">
        <f t="shared" si="3"/>
        <v>3.0769230769230771E-2</v>
      </c>
      <c r="J44" s="15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">
      <c r="A45" s="15"/>
      <c r="B45" s="15"/>
      <c r="C45" s="15"/>
      <c r="D45" s="15"/>
      <c r="E45" s="15"/>
      <c r="F45" s="15"/>
      <c r="G45" s="11" t="s">
        <v>65</v>
      </c>
      <c r="H45" s="12">
        <v>2</v>
      </c>
      <c r="I45" s="13">
        <f t="shared" si="3"/>
        <v>3.0769230769230771E-2</v>
      </c>
      <c r="J45" s="15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">
      <c r="A46" s="15"/>
      <c r="B46" s="15"/>
      <c r="C46" s="15"/>
      <c r="D46" s="15"/>
      <c r="E46" s="15"/>
      <c r="F46" s="15"/>
      <c r="G46" s="11" t="s">
        <v>66</v>
      </c>
      <c r="H46" s="12">
        <v>1</v>
      </c>
      <c r="I46" s="13">
        <f t="shared" si="3"/>
        <v>1.5384615384615385E-2</v>
      </c>
      <c r="J46" s="15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">
      <c r="A47" s="15"/>
      <c r="B47" s="15"/>
      <c r="C47" s="15"/>
      <c r="D47" s="15"/>
      <c r="E47" s="15"/>
      <c r="F47" s="15"/>
      <c r="G47" s="11" t="s">
        <v>67</v>
      </c>
      <c r="H47" s="12">
        <v>1</v>
      </c>
      <c r="I47" s="13">
        <f t="shared" si="3"/>
        <v>1.5384615384615385E-2</v>
      </c>
      <c r="J47" s="15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">
      <c r="A48" s="15"/>
      <c r="B48" s="15"/>
      <c r="C48" s="15"/>
      <c r="D48" s="15"/>
      <c r="E48" s="15"/>
      <c r="F48" s="15"/>
      <c r="G48" s="11" t="s">
        <v>68</v>
      </c>
      <c r="H48" s="12">
        <v>1</v>
      </c>
      <c r="I48" s="13">
        <f t="shared" si="3"/>
        <v>1.5384615384615385E-2</v>
      </c>
      <c r="J48" s="1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">
      <c r="A49" s="15"/>
      <c r="B49" s="15"/>
      <c r="C49" s="15"/>
      <c r="D49" s="15"/>
      <c r="E49" s="15"/>
      <c r="F49" s="15"/>
      <c r="G49" s="11" t="s">
        <v>69</v>
      </c>
      <c r="H49" s="12">
        <v>1</v>
      </c>
      <c r="I49" s="13">
        <f t="shared" si="3"/>
        <v>1.5384615384615385E-2</v>
      </c>
      <c r="J49" s="1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">
      <c r="A50" s="16">
        <v>8</v>
      </c>
      <c r="B50" s="16" t="s">
        <v>70</v>
      </c>
      <c r="C50" s="17" t="s">
        <v>71</v>
      </c>
      <c r="D50" s="16" t="s">
        <v>14</v>
      </c>
      <c r="E50" s="16">
        <v>145</v>
      </c>
      <c r="F50" s="16">
        <v>145</v>
      </c>
      <c r="G50" s="19" t="s">
        <v>72</v>
      </c>
      <c r="H50" s="20">
        <v>99</v>
      </c>
      <c r="I50" s="21">
        <f t="shared" ref="I50:I51" si="4">H50/145*100%</f>
        <v>0.6827586206896552</v>
      </c>
      <c r="J50" s="22" t="s">
        <v>73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">
      <c r="A51" s="15"/>
      <c r="B51" s="15"/>
      <c r="C51" s="15"/>
      <c r="D51" s="15"/>
      <c r="E51" s="15"/>
      <c r="F51" s="15"/>
      <c r="G51" s="19" t="s">
        <v>74</v>
      </c>
      <c r="H51" s="20">
        <v>46</v>
      </c>
      <c r="I51" s="21">
        <f t="shared" si="4"/>
        <v>0.31724137931034485</v>
      </c>
      <c r="J51" s="15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">
      <c r="A52" s="9">
        <v>9</v>
      </c>
      <c r="B52" s="9" t="s">
        <v>75</v>
      </c>
      <c r="C52" s="10" t="s">
        <v>76</v>
      </c>
      <c r="D52" s="9" t="s">
        <v>14</v>
      </c>
      <c r="E52" s="9">
        <v>99</v>
      </c>
      <c r="F52" s="9">
        <v>99</v>
      </c>
      <c r="G52" s="11" t="s">
        <v>77</v>
      </c>
      <c r="H52" s="12">
        <v>62</v>
      </c>
      <c r="I52" s="13">
        <f t="shared" ref="I52:I88" si="5">H52/99*100%</f>
        <v>0.6262626262626263</v>
      </c>
      <c r="J52" s="14" t="s">
        <v>78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">
      <c r="A53" s="15"/>
      <c r="B53" s="15"/>
      <c r="C53" s="15"/>
      <c r="D53" s="15"/>
      <c r="E53" s="15"/>
      <c r="F53" s="15"/>
      <c r="G53" s="11" t="s">
        <v>79</v>
      </c>
      <c r="H53" s="12">
        <v>37</v>
      </c>
      <c r="I53" s="13">
        <f t="shared" si="5"/>
        <v>0.37373737373737376</v>
      </c>
      <c r="J53" s="15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">
      <c r="A54" s="16">
        <v>10</v>
      </c>
      <c r="B54" s="16" t="s">
        <v>80</v>
      </c>
      <c r="C54" s="17" t="s">
        <v>81</v>
      </c>
      <c r="D54" s="18" t="s">
        <v>20</v>
      </c>
      <c r="E54" s="16">
        <v>99</v>
      </c>
      <c r="F54" s="16">
        <f>SUM(H54:H58)</f>
        <v>168</v>
      </c>
      <c r="G54" s="19" t="s">
        <v>82</v>
      </c>
      <c r="H54" s="20">
        <v>48</v>
      </c>
      <c r="I54" s="21">
        <f t="shared" si="5"/>
        <v>0.48484848484848486</v>
      </c>
      <c r="J54" s="22" t="s">
        <v>22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">
      <c r="A55" s="15"/>
      <c r="B55" s="15"/>
      <c r="C55" s="15"/>
      <c r="D55" s="15"/>
      <c r="E55" s="15"/>
      <c r="F55" s="15"/>
      <c r="G55" s="19" t="s">
        <v>83</v>
      </c>
      <c r="H55" s="20">
        <v>33</v>
      </c>
      <c r="I55" s="21">
        <f t="shared" si="5"/>
        <v>0.33333333333333331</v>
      </c>
      <c r="J55" s="15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">
      <c r="A56" s="15"/>
      <c r="B56" s="15"/>
      <c r="C56" s="15"/>
      <c r="D56" s="15"/>
      <c r="E56" s="15"/>
      <c r="F56" s="15"/>
      <c r="G56" s="19" t="s">
        <v>84</v>
      </c>
      <c r="H56" s="20">
        <v>30</v>
      </c>
      <c r="I56" s="21">
        <f t="shared" si="5"/>
        <v>0.30303030303030304</v>
      </c>
      <c r="J56" s="1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">
      <c r="A57" s="15"/>
      <c r="B57" s="15"/>
      <c r="C57" s="15"/>
      <c r="D57" s="15"/>
      <c r="E57" s="15"/>
      <c r="F57" s="15"/>
      <c r="G57" s="19" t="s">
        <v>85</v>
      </c>
      <c r="H57" s="20">
        <v>29</v>
      </c>
      <c r="I57" s="21">
        <f t="shared" si="5"/>
        <v>0.29292929292929293</v>
      </c>
      <c r="J57" s="1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">
      <c r="A58" s="15"/>
      <c r="B58" s="15"/>
      <c r="C58" s="15"/>
      <c r="D58" s="15"/>
      <c r="E58" s="15"/>
      <c r="F58" s="15"/>
      <c r="G58" s="19" t="s">
        <v>86</v>
      </c>
      <c r="H58" s="20">
        <v>28</v>
      </c>
      <c r="I58" s="21">
        <f t="shared" si="5"/>
        <v>0.28282828282828282</v>
      </c>
      <c r="J58" s="1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">
      <c r="A59" s="9">
        <v>11</v>
      </c>
      <c r="B59" s="9" t="s">
        <v>87</v>
      </c>
      <c r="C59" s="10" t="s">
        <v>88</v>
      </c>
      <c r="D59" s="24" t="s">
        <v>20</v>
      </c>
      <c r="E59" s="9">
        <v>99</v>
      </c>
      <c r="F59" s="9">
        <f>SUM(H59:H73)</f>
        <v>153</v>
      </c>
      <c r="G59" s="11" t="s">
        <v>89</v>
      </c>
      <c r="H59" s="12">
        <v>44</v>
      </c>
      <c r="I59" s="13">
        <f t="shared" si="5"/>
        <v>0.44444444444444442</v>
      </c>
      <c r="J59" s="14" t="s">
        <v>22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">
      <c r="A60" s="15"/>
      <c r="B60" s="15"/>
      <c r="C60" s="15"/>
      <c r="D60" s="15"/>
      <c r="E60" s="15"/>
      <c r="F60" s="15"/>
      <c r="G60" s="11" t="s">
        <v>86</v>
      </c>
      <c r="H60" s="12">
        <v>40</v>
      </c>
      <c r="I60" s="13">
        <f t="shared" si="5"/>
        <v>0.40404040404040403</v>
      </c>
      <c r="J60" s="1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">
      <c r="A61" s="15"/>
      <c r="B61" s="15"/>
      <c r="C61" s="15"/>
      <c r="D61" s="15"/>
      <c r="E61" s="15"/>
      <c r="F61" s="15"/>
      <c r="G61" s="11" t="s">
        <v>90</v>
      </c>
      <c r="H61" s="12">
        <v>27</v>
      </c>
      <c r="I61" s="13">
        <f t="shared" si="5"/>
        <v>0.27272727272727271</v>
      </c>
      <c r="J61" s="15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">
      <c r="A62" s="15"/>
      <c r="B62" s="15"/>
      <c r="C62" s="15"/>
      <c r="D62" s="15"/>
      <c r="E62" s="15"/>
      <c r="F62" s="15"/>
      <c r="G62" s="11" t="s">
        <v>91</v>
      </c>
      <c r="H62" s="12">
        <v>15</v>
      </c>
      <c r="I62" s="13">
        <f t="shared" si="5"/>
        <v>0.15151515151515152</v>
      </c>
      <c r="J62" s="15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">
      <c r="A63" s="15"/>
      <c r="B63" s="15"/>
      <c r="C63" s="15"/>
      <c r="D63" s="15"/>
      <c r="E63" s="15"/>
      <c r="F63" s="15"/>
      <c r="G63" s="11" t="s">
        <v>92</v>
      </c>
      <c r="H63" s="12">
        <v>7</v>
      </c>
      <c r="I63" s="13">
        <f t="shared" si="5"/>
        <v>7.0707070707070704E-2</v>
      </c>
      <c r="J63" s="15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">
      <c r="A64" s="15"/>
      <c r="B64" s="15"/>
      <c r="C64" s="15"/>
      <c r="D64" s="15"/>
      <c r="E64" s="15"/>
      <c r="F64" s="15"/>
      <c r="G64" s="11" t="s">
        <v>93</v>
      </c>
      <c r="H64" s="12">
        <v>6</v>
      </c>
      <c r="I64" s="13">
        <f t="shared" si="5"/>
        <v>6.0606060606060608E-2</v>
      </c>
      <c r="J64" s="15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">
      <c r="A65" s="15"/>
      <c r="B65" s="15"/>
      <c r="C65" s="15"/>
      <c r="D65" s="15"/>
      <c r="E65" s="15"/>
      <c r="F65" s="15"/>
      <c r="G65" s="11" t="s">
        <v>94</v>
      </c>
      <c r="H65" s="12">
        <v>4</v>
      </c>
      <c r="I65" s="13">
        <f t="shared" si="5"/>
        <v>4.0404040404040407E-2</v>
      </c>
      <c r="J65" s="15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">
      <c r="A66" s="15"/>
      <c r="B66" s="15"/>
      <c r="C66" s="15"/>
      <c r="D66" s="15"/>
      <c r="E66" s="15"/>
      <c r="F66" s="15"/>
      <c r="G66" s="11" t="s">
        <v>95</v>
      </c>
      <c r="H66" s="12">
        <v>2</v>
      </c>
      <c r="I66" s="13">
        <f t="shared" si="5"/>
        <v>2.0202020202020204E-2</v>
      </c>
      <c r="J66" s="15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">
      <c r="A67" s="15"/>
      <c r="B67" s="15"/>
      <c r="C67" s="15"/>
      <c r="D67" s="15"/>
      <c r="E67" s="15"/>
      <c r="F67" s="15"/>
      <c r="G67" s="11" t="s">
        <v>96</v>
      </c>
      <c r="H67" s="12">
        <v>2</v>
      </c>
      <c r="I67" s="13">
        <f>H67/99*100%</f>
        <v>2.0202020202020204E-2</v>
      </c>
      <c r="J67" s="15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">
      <c r="A68" s="15"/>
      <c r="B68" s="15"/>
      <c r="C68" s="15"/>
      <c r="D68" s="15"/>
      <c r="E68" s="15"/>
      <c r="F68" s="15"/>
      <c r="G68" s="11" t="s">
        <v>97</v>
      </c>
      <c r="H68" s="12">
        <v>1</v>
      </c>
      <c r="I68" s="13">
        <f t="shared" si="5"/>
        <v>1.0101010101010102E-2</v>
      </c>
      <c r="J68" s="15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">
      <c r="A69" s="15"/>
      <c r="B69" s="15"/>
      <c r="C69" s="15"/>
      <c r="D69" s="15"/>
      <c r="E69" s="15"/>
      <c r="F69" s="15"/>
      <c r="G69" s="11" t="s">
        <v>98</v>
      </c>
      <c r="H69" s="12">
        <v>1</v>
      </c>
      <c r="I69" s="13">
        <f t="shared" si="5"/>
        <v>1.0101010101010102E-2</v>
      </c>
      <c r="J69" s="1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">
      <c r="A70" s="15"/>
      <c r="B70" s="15"/>
      <c r="C70" s="15"/>
      <c r="D70" s="15"/>
      <c r="E70" s="15"/>
      <c r="F70" s="15"/>
      <c r="G70" s="11" t="s">
        <v>99</v>
      </c>
      <c r="H70" s="12">
        <v>1</v>
      </c>
      <c r="I70" s="13">
        <f t="shared" si="5"/>
        <v>1.0101010101010102E-2</v>
      </c>
      <c r="J70" s="15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">
      <c r="A71" s="15"/>
      <c r="B71" s="15"/>
      <c r="C71" s="15"/>
      <c r="D71" s="15"/>
      <c r="E71" s="15"/>
      <c r="F71" s="15"/>
      <c r="G71" s="11" t="s">
        <v>100</v>
      </c>
      <c r="H71" s="12">
        <v>1</v>
      </c>
      <c r="I71" s="13">
        <f t="shared" si="5"/>
        <v>1.0101010101010102E-2</v>
      </c>
      <c r="J71" s="1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">
      <c r="A72" s="15"/>
      <c r="B72" s="15"/>
      <c r="C72" s="15"/>
      <c r="D72" s="15"/>
      <c r="E72" s="15"/>
      <c r="F72" s="15"/>
      <c r="G72" s="11" t="s">
        <v>101</v>
      </c>
      <c r="H72" s="12">
        <v>1</v>
      </c>
      <c r="I72" s="13">
        <f t="shared" si="5"/>
        <v>1.0101010101010102E-2</v>
      </c>
      <c r="J72" s="1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">
      <c r="A73" s="15"/>
      <c r="B73" s="15"/>
      <c r="C73" s="15"/>
      <c r="D73" s="15"/>
      <c r="E73" s="15"/>
      <c r="F73" s="15"/>
      <c r="G73" s="11" t="s">
        <v>102</v>
      </c>
      <c r="H73" s="12">
        <v>1</v>
      </c>
      <c r="I73" s="13">
        <f t="shared" si="5"/>
        <v>1.0101010101010102E-2</v>
      </c>
      <c r="J73" s="1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">
      <c r="A74" s="16">
        <v>12</v>
      </c>
      <c r="B74" s="16" t="s">
        <v>103</v>
      </c>
      <c r="C74" s="17" t="s">
        <v>104</v>
      </c>
      <c r="D74" s="18" t="s">
        <v>20</v>
      </c>
      <c r="E74" s="16">
        <v>99</v>
      </c>
      <c r="F74" s="16">
        <f>SUM(H74:H81)</f>
        <v>116</v>
      </c>
      <c r="G74" s="19" t="s">
        <v>86</v>
      </c>
      <c r="H74" s="20">
        <v>65</v>
      </c>
      <c r="I74" s="21">
        <f t="shared" si="5"/>
        <v>0.65656565656565657</v>
      </c>
      <c r="J74" s="22" t="s">
        <v>22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">
      <c r="A75" s="15"/>
      <c r="B75" s="15"/>
      <c r="C75" s="15"/>
      <c r="D75" s="15"/>
      <c r="E75" s="15"/>
      <c r="F75" s="15"/>
      <c r="G75" s="19" t="s">
        <v>105</v>
      </c>
      <c r="H75" s="20">
        <v>24</v>
      </c>
      <c r="I75" s="21">
        <f t="shared" si="5"/>
        <v>0.24242424242424243</v>
      </c>
      <c r="J75" s="15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">
      <c r="A76" s="15"/>
      <c r="B76" s="15"/>
      <c r="C76" s="15"/>
      <c r="D76" s="15"/>
      <c r="E76" s="15"/>
      <c r="F76" s="15"/>
      <c r="G76" s="19" t="s">
        <v>106</v>
      </c>
      <c r="H76" s="20">
        <v>9</v>
      </c>
      <c r="I76" s="21">
        <f t="shared" si="5"/>
        <v>9.0909090909090912E-2</v>
      </c>
      <c r="J76" s="15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">
      <c r="A77" s="15"/>
      <c r="B77" s="15"/>
      <c r="C77" s="15"/>
      <c r="D77" s="15"/>
      <c r="E77" s="15"/>
      <c r="F77" s="15"/>
      <c r="G77" s="19" t="s">
        <v>107</v>
      </c>
      <c r="H77" s="20">
        <v>7</v>
      </c>
      <c r="I77" s="21">
        <f t="shared" si="5"/>
        <v>7.0707070707070704E-2</v>
      </c>
      <c r="J77" s="15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">
      <c r="A78" s="15"/>
      <c r="B78" s="15"/>
      <c r="C78" s="15"/>
      <c r="D78" s="15"/>
      <c r="E78" s="15"/>
      <c r="F78" s="15"/>
      <c r="G78" s="19" t="s">
        <v>108</v>
      </c>
      <c r="H78" s="20">
        <v>5</v>
      </c>
      <c r="I78" s="21">
        <f t="shared" si="5"/>
        <v>5.0505050505050504E-2</v>
      </c>
      <c r="J78" s="15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">
      <c r="A79" s="15"/>
      <c r="B79" s="15"/>
      <c r="C79" s="15"/>
      <c r="D79" s="15"/>
      <c r="E79" s="15"/>
      <c r="F79" s="15"/>
      <c r="G79" s="19" t="s">
        <v>109</v>
      </c>
      <c r="H79" s="20">
        <v>4</v>
      </c>
      <c r="I79" s="21">
        <f t="shared" si="5"/>
        <v>4.0404040404040407E-2</v>
      </c>
      <c r="J79" s="1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">
      <c r="A80" s="15"/>
      <c r="B80" s="15"/>
      <c r="C80" s="15"/>
      <c r="D80" s="15"/>
      <c r="E80" s="15"/>
      <c r="F80" s="15"/>
      <c r="G80" s="19" t="s">
        <v>110</v>
      </c>
      <c r="H80" s="20">
        <v>1</v>
      </c>
      <c r="I80" s="21">
        <f t="shared" si="5"/>
        <v>1.0101010101010102E-2</v>
      </c>
      <c r="J80" s="1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">
      <c r="A81" s="15"/>
      <c r="B81" s="15"/>
      <c r="C81" s="15"/>
      <c r="D81" s="15"/>
      <c r="E81" s="15"/>
      <c r="F81" s="15"/>
      <c r="G81" s="19" t="s">
        <v>111</v>
      </c>
      <c r="H81" s="20">
        <v>1</v>
      </c>
      <c r="I81" s="21">
        <f t="shared" si="5"/>
        <v>1.0101010101010102E-2</v>
      </c>
      <c r="J81" s="15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">
      <c r="A82" s="9">
        <v>13</v>
      </c>
      <c r="B82" s="9" t="s">
        <v>112</v>
      </c>
      <c r="C82" s="10" t="s">
        <v>113</v>
      </c>
      <c r="D82" s="9" t="s">
        <v>14</v>
      </c>
      <c r="E82" s="9">
        <v>99</v>
      </c>
      <c r="F82" s="9">
        <v>99</v>
      </c>
      <c r="G82" s="11" t="s">
        <v>114</v>
      </c>
      <c r="H82" s="12">
        <v>34</v>
      </c>
      <c r="I82" s="13">
        <f t="shared" si="5"/>
        <v>0.34343434343434343</v>
      </c>
      <c r="J82" s="14" t="s">
        <v>115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">
      <c r="A83" s="15"/>
      <c r="B83" s="15"/>
      <c r="C83" s="15"/>
      <c r="D83" s="15"/>
      <c r="E83" s="15"/>
      <c r="F83" s="15"/>
      <c r="G83" s="11" t="s">
        <v>116</v>
      </c>
      <c r="H83" s="12">
        <v>22</v>
      </c>
      <c r="I83" s="13">
        <f t="shared" si="5"/>
        <v>0.22222222222222221</v>
      </c>
      <c r="J83" s="15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">
      <c r="A84" s="15"/>
      <c r="B84" s="15"/>
      <c r="C84" s="15"/>
      <c r="D84" s="15"/>
      <c r="E84" s="15"/>
      <c r="F84" s="15"/>
      <c r="G84" s="11" t="s">
        <v>86</v>
      </c>
      <c r="H84" s="12">
        <v>22</v>
      </c>
      <c r="I84" s="13">
        <f t="shared" si="5"/>
        <v>0.22222222222222221</v>
      </c>
      <c r="J84" s="15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">
      <c r="A85" s="15"/>
      <c r="B85" s="15"/>
      <c r="C85" s="15"/>
      <c r="D85" s="15"/>
      <c r="E85" s="15"/>
      <c r="F85" s="15"/>
      <c r="G85" s="11" t="s">
        <v>117</v>
      </c>
      <c r="H85" s="12">
        <v>21</v>
      </c>
      <c r="I85" s="13">
        <f t="shared" si="5"/>
        <v>0.21212121212121213</v>
      </c>
      <c r="J85" s="15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">
      <c r="A86" s="16">
        <v>14</v>
      </c>
      <c r="B86" s="16" t="s">
        <v>118</v>
      </c>
      <c r="C86" s="17" t="s">
        <v>119</v>
      </c>
      <c r="D86" s="16" t="s">
        <v>14</v>
      </c>
      <c r="E86" s="16">
        <v>99</v>
      </c>
      <c r="F86" s="16">
        <v>99</v>
      </c>
      <c r="G86" s="19" t="s">
        <v>120</v>
      </c>
      <c r="H86" s="20">
        <v>47</v>
      </c>
      <c r="I86" s="21">
        <f t="shared" si="5"/>
        <v>0.47474747474747475</v>
      </c>
      <c r="J86" s="22" t="s">
        <v>121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">
      <c r="A87" s="15"/>
      <c r="B87" s="15"/>
      <c r="C87" s="15"/>
      <c r="D87" s="15"/>
      <c r="E87" s="15"/>
      <c r="F87" s="15"/>
      <c r="G87" s="19" t="s">
        <v>122</v>
      </c>
      <c r="H87" s="20">
        <v>43</v>
      </c>
      <c r="I87" s="21">
        <f t="shared" si="5"/>
        <v>0.43434343434343436</v>
      </c>
      <c r="J87" s="15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">
      <c r="A88" s="15"/>
      <c r="B88" s="15"/>
      <c r="C88" s="15"/>
      <c r="D88" s="15"/>
      <c r="E88" s="15"/>
      <c r="F88" s="15"/>
      <c r="G88" s="19" t="s">
        <v>123</v>
      </c>
      <c r="H88" s="20">
        <v>9</v>
      </c>
      <c r="I88" s="21">
        <f t="shared" si="5"/>
        <v>9.0909090909090912E-2</v>
      </c>
      <c r="J88" s="15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4" customHeight="1" x14ac:dyDescent="0.3">
      <c r="A89" s="9">
        <v>15</v>
      </c>
      <c r="B89" s="9" t="s">
        <v>124</v>
      </c>
      <c r="C89" s="10" t="s">
        <v>125</v>
      </c>
      <c r="D89" s="9" t="s">
        <v>14</v>
      </c>
      <c r="E89" s="9">
        <v>145</v>
      </c>
      <c r="F89" s="9">
        <v>145</v>
      </c>
      <c r="G89" s="11" t="s">
        <v>50</v>
      </c>
      <c r="H89" s="12">
        <v>121</v>
      </c>
      <c r="I89" s="13">
        <f t="shared" ref="I89:I103" si="6">H89/145*100%</f>
        <v>0.83448275862068966</v>
      </c>
      <c r="J89" s="14" t="s">
        <v>126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4.75" customHeight="1" x14ac:dyDescent="0.3">
      <c r="A90" s="15"/>
      <c r="B90" s="15"/>
      <c r="C90" s="15"/>
      <c r="D90" s="15"/>
      <c r="E90" s="15"/>
      <c r="F90" s="15"/>
      <c r="G90" s="11" t="s">
        <v>48</v>
      </c>
      <c r="H90" s="12">
        <v>24</v>
      </c>
      <c r="I90" s="13">
        <f t="shared" si="6"/>
        <v>0.16551724137931034</v>
      </c>
      <c r="J90" s="15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">
      <c r="A91" s="16">
        <v>16</v>
      </c>
      <c r="B91" s="16" t="s">
        <v>127</v>
      </c>
      <c r="C91" s="17" t="s">
        <v>128</v>
      </c>
      <c r="D91" s="18" t="s">
        <v>20</v>
      </c>
      <c r="E91" s="16">
        <v>145</v>
      </c>
      <c r="F91" s="16">
        <f>SUM(H91:H97)</f>
        <v>218</v>
      </c>
      <c r="G91" s="19" t="s">
        <v>129</v>
      </c>
      <c r="H91" s="20">
        <v>72</v>
      </c>
      <c r="I91" s="21">
        <f t="shared" si="6"/>
        <v>0.49655172413793103</v>
      </c>
      <c r="J91" s="22" t="s">
        <v>22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">
      <c r="A92" s="15"/>
      <c r="B92" s="15"/>
      <c r="C92" s="15"/>
      <c r="D92" s="15"/>
      <c r="E92" s="15"/>
      <c r="F92" s="15"/>
      <c r="G92" s="19" t="s">
        <v>86</v>
      </c>
      <c r="H92" s="20">
        <v>47</v>
      </c>
      <c r="I92" s="21">
        <f t="shared" si="6"/>
        <v>0.32413793103448274</v>
      </c>
      <c r="J92" s="15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">
      <c r="A93" s="15"/>
      <c r="B93" s="15"/>
      <c r="C93" s="15"/>
      <c r="D93" s="15"/>
      <c r="E93" s="15"/>
      <c r="F93" s="15"/>
      <c r="G93" s="19" t="s">
        <v>130</v>
      </c>
      <c r="H93" s="20">
        <v>40</v>
      </c>
      <c r="I93" s="21">
        <f t="shared" si="6"/>
        <v>0.27586206896551724</v>
      </c>
      <c r="J93" s="15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">
      <c r="A94" s="15"/>
      <c r="B94" s="15"/>
      <c r="C94" s="15"/>
      <c r="D94" s="15"/>
      <c r="E94" s="15"/>
      <c r="F94" s="15"/>
      <c r="G94" s="19" t="s">
        <v>131</v>
      </c>
      <c r="H94" s="20">
        <v>31</v>
      </c>
      <c r="I94" s="21">
        <f t="shared" si="6"/>
        <v>0.21379310344827587</v>
      </c>
      <c r="J94" s="15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">
      <c r="A95" s="15"/>
      <c r="B95" s="15"/>
      <c r="C95" s="15"/>
      <c r="D95" s="15"/>
      <c r="E95" s="15"/>
      <c r="F95" s="15"/>
      <c r="G95" s="19" t="s">
        <v>132</v>
      </c>
      <c r="H95" s="20">
        <v>20</v>
      </c>
      <c r="I95" s="21">
        <f t="shared" si="6"/>
        <v>0.13793103448275862</v>
      </c>
      <c r="J95" s="15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">
      <c r="A96" s="15"/>
      <c r="B96" s="15"/>
      <c r="C96" s="15"/>
      <c r="D96" s="15"/>
      <c r="E96" s="15"/>
      <c r="F96" s="15"/>
      <c r="G96" s="19" t="s">
        <v>133</v>
      </c>
      <c r="H96" s="20">
        <v>5</v>
      </c>
      <c r="I96" s="21">
        <f t="shared" si="6"/>
        <v>3.4482758620689655E-2</v>
      </c>
      <c r="J96" s="15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">
      <c r="A97" s="15"/>
      <c r="B97" s="15"/>
      <c r="C97" s="15"/>
      <c r="D97" s="15"/>
      <c r="E97" s="15"/>
      <c r="F97" s="15"/>
      <c r="G97" s="19" t="s">
        <v>134</v>
      </c>
      <c r="H97" s="20">
        <v>3</v>
      </c>
      <c r="I97" s="21">
        <f t="shared" si="6"/>
        <v>2.0689655172413793E-2</v>
      </c>
      <c r="J97" s="15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">
      <c r="A98" s="9">
        <v>17</v>
      </c>
      <c r="B98" s="9" t="s">
        <v>135</v>
      </c>
      <c r="C98" s="10" t="s">
        <v>136</v>
      </c>
      <c r="D98" s="24" t="s">
        <v>20</v>
      </c>
      <c r="E98" s="9">
        <v>145</v>
      </c>
      <c r="F98" s="9">
        <f>SUM(H98:H103)</f>
        <v>171</v>
      </c>
      <c r="G98" s="11" t="s">
        <v>86</v>
      </c>
      <c r="H98" s="12">
        <v>78</v>
      </c>
      <c r="I98" s="13">
        <f t="shared" si="6"/>
        <v>0.53793103448275859</v>
      </c>
      <c r="J98" s="14" t="s">
        <v>22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">
      <c r="A99" s="15"/>
      <c r="B99" s="15"/>
      <c r="C99" s="15"/>
      <c r="D99" s="15"/>
      <c r="E99" s="15"/>
      <c r="F99" s="15"/>
      <c r="G99" s="11" t="s">
        <v>137</v>
      </c>
      <c r="H99" s="12">
        <v>44</v>
      </c>
      <c r="I99" s="13">
        <f t="shared" si="6"/>
        <v>0.30344827586206896</v>
      </c>
      <c r="J99" s="15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">
      <c r="A100" s="15"/>
      <c r="B100" s="15"/>
      <c r="C100" s="15"/>
      <c r="D100" s="15"/>
      <c r="E100" s="15"/>
      <c r="F100" s="15"/>
      <c r="G100" s="11" t="s">
        <v>138</v>
      </c>
      <c r="H100" s="12">
        <v>25</v>
      </c>
      <c r="I100" s="13">
        <f t="shared" si="6"/>
        <v>0.17241379310344829</v>
      </c>
      <c r="J100" s="15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">
      <c r="A101" s="15"/>
      <c r="B101" s="15"/>
      <c r="C101" s="15"/>
      <c r="D101" s="15"/>
      <c r="E101" s="15"/>
      <c r="F101" s="15"/>
      <c r="G101" s="11" t="s">
        <v>139</v>
      </c>
      <c r="H101" s="12">
        <v>20</v>
      </c>
      <c r="I101" s="13">
        <f t="shared" si="6"/>
        <v>0.13793103448275862</v>
      </c>
      <c r="J101" s="1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">
      <c r="A102" s="15"/>
      <c r="B102" s="15"/>
      <c r="C102" s="15"/>
      <c r="D102" s="15"/>
      <c r="E102" s="15"/>
      <c r="F102" s="15"/>
      <c r="G102" s="11" t="s">
        <v>140</v>
      </c>
      <c r="H102" s="12">
        <v>3</v>
      </c>
      <c r="I102" s="13">
        <f t="shared" si="6"/>
        <v>2.0689655172413793E-2</v>
      </c>
      <c r="J102" s="15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">
      <c r="A103" s="15"/>
      <c r="B103" s="15"/>
      <c r="C103" s="15"/>
      <c r="D103" s="15"/>
      <c r="E103" s="15"/>
      <c r="F103" s="15"/>
      <c r="G103" s="11" t="s">
        <v>141</v>
      </c>
      <c r="H103" s="12">
        <v>1</v>
      </c>
      <c r="I103" s="13">
        <f t="shared" si="6"/>
        <v>6.8965517241379309E-3</v>
      </c>
      <c r="J103" s="15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1">
    <mergeCell ref="A98:A103"/>
    <mergeCell ref="B98:B103"/>
    <mergeCell ref="C98:C103"/>
    <mergeCell ref="D98:D103"/>
    <mergeCell ref="E98:E103"/>
    <mergeCell ref="F98:F103"/>
    <mergeCell ref="J98:J103"/>
    <mergeCell ref="A91:A97"/>
    <mergeCell ref="B91:B97"/>
    <mergeCell ref="C91:C97"/>
    <mergeCell ref="D91:D97"/>
    <mergeCell ref="E91:E97"/>
    <mergeCell ref="F91:F97"/>
    <mergeCell ref="J91:J97"/>
    <mergeCell ref="A26:A33"/>
    <mergeCell ref="B26:B33"/>
    <mergeCell ref="C26:C33"/>
    <mergeCell ref="D26:D33"/>
    <mergeCell ref="E26:E33"/>
    <mergeCell ref="F26:F33"/>
    <mergeCell ref="J26:J33"/>
    <mergeCell ref="A34:A35"/>
    <mergeCell ref="B34:B35"/>
    <mergeCell ref="C34:C35"/>
    <mergeCell ref="D34:D35"/>
    <mergeCell ref="E34:E35"/>
    <mergeCell ref="F34:F35"/>
    <mergeCell ref="J34:J35"/>
    <mergeCell ref="A8:A17"/>
    <mergeCell ref="B8:B17"/>
    <mergeCell ref="C8:C17"/>
    <mergeCell ref="D8:D17"/>
    <mergeCell ref="E8:E17"/>
    <mergeCell ref="F8:F17"/>
    <mergeCell ref="J8:J17"/>
    <mergeCell ref="A18:A25"/>
    <mergeCell ref="B18:B25"/>
    <mergeCell ref="C18:C25"/>
    <mergeCell ref="D18:D25"/>
    <mergeCell ref="E18:E25"/>
    <mergeCell ref="F18:F25"/>
    <mergeCell ref="J18:J25"/>
    <mergeCell ref="F6:F7"/>
    <mergeCell ref="J6:J7"/>
    <mergeCell ref="A1:I1"/>
    <mergeCell ref="A3:I3"/>
    <mergeCell ref="A6:A7"/>
    <mergeCell ref="B6:B7"/>
    <mergeCell ref="C6:C7"/>
    <mergeCell ref="D6:D7"/>
    <mergeCell ref="E6:E7"/>
    <mergeCell ref="A86:A88"/>
    <mergeCell ref="B86:B88"/>
    <mergeCell ref="C86:C88"/>
    <mergeCell ref="D86:D88"/>
    <mergeCell ref="E86:E88"/>
    <mergeCell ref="F86:F88"/>
    <mergeCell ref="J86:J88"/>
    <mergeCell ref="A89:A90"/>
    <mergeCell ref="B89:B90"/>
    <mergeCell ref="C89:C90"/>
    <mergeCell ref="D89:D90"/>
    <mergeCell ref="E89:E90"/>
    <mergeCell ref="F89:F90"/>
    <mergeCell ref="J89:J90"/>
    <mergeCell ref="A74:A81"/>
    <mergeCell ref="B74:B81"/>
    <mergeCell ref="C74:C81"/>
    <mergeCell ref="D74:D81"/>
    <mergeCell ref="E74:E81"/>
    <mergeCell ref="F74:F81"/>
    <mergeCell ref="J74:J81"/>
    <mergeCell ref="A82:A85"/>
    <mergeCell ref="B82:B85"/>
    <mergeCell ref="C82:C85"/>
    <mergeCell ref="D82:D85"/>
    <mergeCell ref="E82:E85"/>
    <mergeCell ref="F82:F85"/>
    <mergeCell ref="J82:J85"/>
    <mergeCell ref="A54:A58"/>
    <mergeCell ref="B54:B58"/>
    <mergeCell ref="C54:C58"/>
    <mergeCell ref="D54:D58"/>
    <mergeCell ref="E54:E58"/>
    <mergeCell ref="F54:F58"/>
    <mergeCell ref="J54:J58"/>
    <mergeCell ref="A59:A73"/>
    <mergeCell ref="B59:B73"/>
    <mergeCell ref="C59:C73"/>
    <mergeCell ref="D59:D73"/>
    <mergeCell ref="E59:E73"/>
    <mergeCell ref="F59:F73"/>
    <mergeCell ref="J59:J73"/>
    <mergeCell ref="A50:A51"/>
    <mergeCell ref="B50:B51"/>
    <mergeCell ref="C50:C51"/>
    <mergeCell ref="D50:D51"/>
    <mergeCell ref="E50:E51"/>
    <mergeCell ref="F50:F51"/>
    <mergeCell ref="J50:J51"/>
    <mergeCell ref="A52:A53"/>
    <mergeCell ref="B52:B53"/>
    <mergeCell ref="C52:C53"/>
    <mergeCell ref="D52:D53"/>
    <mergeCell ref="E52:E53"/>
    <mergeCell ref="F52:F53"/>
    <mergeCell ref="J52:J53"/>
    <mergeCell ref="A36:A37"/>
    <mergeCell ref="B36:B37"/>
    <mergeCell ref="C36:C37"/>
    <mergeCell ref="D36:D37"/>
    <mergeCell ref="E36:E37"/>
    <mergeCell ref="F36:F37"/>
    <mergeCell ref="J36:J37"/>
    <mergeCell ref="A38:A49"/>
    <mergeCell ref="B38:B49"/>
    <mergeCell ref="C38:C49"/>
    <mergeCell ref="D38:D49"/>
    <mergeCell ref="E38:E49"/>
    <mergeCell ref="F38:F49"/>
    <mergeCell ref="J38:J49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Rizqy Amelia Zein</cp:lastModifiedBy>
  <dcterms:created xsi:type="dcterms:W3CDTF">2026-08-20T12:51:50Z</dcterms:created>
  <dcterms:modified xsi:type="dcterms:W3CDTF">2026-09-21T05:39:04Z</dcterms:modified>
</cp:coreProperties>
</file>